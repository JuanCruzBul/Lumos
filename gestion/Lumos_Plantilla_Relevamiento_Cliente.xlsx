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amiento Cliente" state="visible" r:id="rId4"/>
    <sheet sheetId="2" name="Listas" state="hidden" r:id="rId5"/>
  </sheets>
  <calcPr calcId="171027"/>
</workbook>
</file>

<file path=xl/sharedStrings.xml><?xml version="1.0" encoding="utf-8"?>
<sst xmlns="http://schemas.openxmlformats.org/spreadsheetml/2006/main" count="130" uniqueCount="118">
  <si>
    <t>LUMOS — FICHA DE RELEVAMIENTO EN DOMICILIO</t>
  </si>
  <si>
    <t>Completar durante la visita técnica al hogar del cliente</t>
  </si>
  <si>
    <t>1. DATOS DEL CLIENTE</t>
  </si>
  <si>
    <t>Nombre y apellido</t>
  </si>
  <si>
    <t>Teléfono / WhatsApp</t>
  </si>
  <si>
    <t>Email</t>
  </si>
  <si>
    <t>DNI / CUIT</t>
  </si>
  <si>
    <t>Dirección</t>
  </si>
  <si>
    <t>Localidad</t>
  </si>
  <si>
    <t>Provincia</t>
  </si>
  <si>
    <t>Fecha de visita</t>
  </si>
  <si>
    <t>Referido por</t>
  </si>
  <si>
    <t>2. DATOS DE LA VIVIENDA</t>
  </si>
  <si>
    <t>Tipo de vivienda</t>
  </si>
  <si>
    <t>Cant. de ambientes</t>
  </si>
  <si>
    <t>Cant. de pisos</t>
  </si>
  <si>
    <t>Es propietario / inquilino</t>
  </si>
  <si>
    <t>Internet disponible</t>
  </si>
  <si>
    <t>Velocidad / Proveedor ISP</t>
  </si>
  <si>
    <t>Router ubicado en</t>
  </si>
  <si>
    <t>Wi-Fi cubre toda la casa</t>
  </si>
  <si>
    <t>Tablero eléctrico accesible</t>
  </si>
  <si>
    <t>3. TOMAS Y SWITCHES A CAMBIAR / INSTALAR</t>
  </si>
  <si>
    <t>Ambiente</t>
  </si>
  <si>
    <t>Tipo (toma/switch)</t>
  </si>
  <si>
    <t>Cantidad</t>
  </si>
  <si>
    <t>Marca sugerida</t>
  </si>
  <si>
    <t>Instalación (sí/no obra)</t>
  </si>
  <si>
    <t>Notas</t>
  </si>
  <si>
    <t>4. AUTOMATIZACIONES REQUERIDAS</t>
  </si>
  <si>
    <t>Automatización</t>
  </si>
  <si>
    <t>Ambiente / Alcance</t>
  </si>
  <si>
    <t>Disparador</t>
  </si>
  <si>
    <t>Prioridad</t>
  </si>
  <si>
    <t>5. DISPOSITIVOS Y EQUIPAMIENTO NECESARIO</t>
  </si>
  <si>
    <t>Dispositivo</t>
  </si>
  <si>
    <t>Marca</t>
  </si>
  <si>
    <t>Precio unit. est.</t>
  </si>
  <si>
    <t>Subtotal</t>
  </si>
  <si>
    <t>TOTAL ESTIMADO</t>
  </si>
  <si>
    <t>6. SEGURIDAD</t>
  </si>
  <si>
    <t>Cerraduras inteligentes</t>
  </si>
  <si>
    <t>Cámaras exteriores</t>
  </si>
  <si>
    <t>Cámaras interiores</t>
  </si>
  <si>
    <t>Timbre inteligente</t>
  </si>
  <si>
    <t>Sensores de apertura</t>
  </si>
  <si>
    <t>Sensores de movimiento</t>
  </si>
  <si>
    <t>7. PROPUESTA COMERCIAL</t>
  </si>
  <si>
    <t>Kit sugerido</t>
  </si>
  <si>
    <t>Precio mensual estimado</t>
  </si>
  <si>
    <t>Fecha estimada de instalación</t>
  </si>
  <si>
    <t>Técnico asignado</t>
  </si>
  <si>
    <t>Estado de la propuesta</t>
  </si>
  <si>
    <t/>
  </si>
  <si>
    <t>8. OBSERVACIONES GENERALES</t>
  </si>
  <si>
    <t>Propietario/Inquilino</t>
  </si>
  <si>
    <t>Sí/No</t>
  </si>
  <si>
    <t>Tipo toma/switch</t>
  </si>
  <si>
    <t>Marca dispositivos</t>
  </si>
  <si>
    <t>Instalación</t>
  </si>
  <si>
    <t>Kit</t>
  </si>
  <si>
    <t>Estado propuesta</t>
  </si>
  <si>
    <t>Casa</t>
  </si>
  <si>
    <t>Propietario</t>
  </si>
  <si>
    <t>Sí</t>
  </si>
  <si>
    <t>Toma corriente</t>
  </si>
  <si>
    <t>Sonoff</t>
  </si>
  <si>
    <t>Sin obra</t>
  </si>
  <si>
    <t>Buenos días</t>
  </si>
  <si>
    <t>Alta</t>
  </si>
  <si>
    <t>Switch WiFi</t>
  </si>
  <si>
    <t>Kit Inicial</t>
  </si>
  <si>
    <t>Enviada</t>
  </si>
  <si>
    <t>Departamento</t>
  </si>
  <si>
    <t>Inquilino</t>
  </si>
  <si>
    <t>No</t>
  </si>
  <si>
    <t>Switch de pared</t>
  </si>
  <si>
    <t>Shelly</t>
  </si>
  <si>
    <t>Con obra</t>
  </si>
  <si>
    <t>Llegué a casa</t>
  </si>
  <si>
    <t>Media</t>
  </si>
  <si>
    <t>Foco inteligente</t>
  </si>
  <si>
    <t>Kit Completo</t>
  </si>
  <si>
    <t>En negociación</t>
  </si>
  <si>
    <t>PH</t>
  </si>
  <si>
    <t>Dimmer</t>
  </si>
  <si>
    <t>Philips Hue</t>
  </si>
  <si>
    <t>Modo cine</t>
  </si>
  <si>
    <t>Baja</t>
  </si>
  <si>
    <t>Cerradura WiFi</t>
  </si>
  <si>
    <t>A Medida</t>
  </si>
  <si>
    <t>Aceptada</t>
  </si>
  <si>
    <t>Country / Barrio cerrado</t>
  </si>
  <si>
    <t>Toma + USB</t>
  </si>
  <si>
    <t>IKEA Tradfri</t>
  </si>
  <si>
    <t>Buenas noches</t>
  </si>
  <si>
    <t>Cámara IP</t>
  </si>
  <si>
    <t>Rechazada</t>
  </si>
  <si>
    <t>TP-Link</t>
  </si>
  <si>
    <t>Modo ausente</t>
  </si>
  <si>
    <t>Timbre con video</t>
  </si>
  <si>
    <t>Yale</t>
  </si>
  <si>
    <t>Riego automático</t>
  </si>
  <si>
    <t>Sensor de apertura</t>
  </si>
  <si>
    <t>August</t>
  </si>
  <si>
    <t>Clima / temperatura</t>
  </si>
  <si>
    <t>Sensor de movimiento</t>
  </si>
  <si>
    <t>TP-Link Tapo</t>
  </si>
  <si>
    <t>Hub Home Assistant</t>
  </si>
  <si>
    <t>Reolink</t>
  </si>
  <si>
    <t>Motor de cortina</t>
  </si>
  <si>
    <t>Aqara</t>
  </si>
  <si>
    <t>Enchufe inteligente</t>
  </si>
  <si>
    <t>Xiaomi</t>
  </si>
  <si>
    <t>Termostato</t>
  </si>
  <si>
    <t>Ecobee</t>
  </si>
  <si>
    <t>Sensor de humo/gas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</si>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</sst>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 #,##0.00"/>
    <numFmt numFmtId="165" formatCode="dd/mm/yyyy"/>
  </numFmts>
  <fonts count="8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FFFFFF"/>
      <sz val="10"/>
    </font>
    <font>
      <b/>
      <color rgb="FFFFFF"/>
      <sz val="12"/>
    </font>
    <font>
      <b/>
      <color rgb="475569"/>
      <sz val="10"/>
    </font>
    <font>
      <sz val="10"/>
      <name val="Calibri"/>
    </font>
    <font>
      <b/>
      <color rgb="FFFFFF"/>
      <sz val="10"/>
    </font>
    <font>
      <b/>
      <color rgb="FFFFFF"/>
      <sz val="11"/>
    </font>
  </fonts>
  <fills count="6">
    <fill>
      <patternFill patternType="none"/>
    </fill>
    <fill>
      <patternFill patternType="gray125"/>
    </fill>
    <fill>
      <patternFill patternType="solid">
        <fgColor rgb="0B1220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right" vertical="center" indent="1"/>
    </xf>
    <xf numFmtId="164" fontId="7" fillId="2" borderId="0" xfId="0" applyNumberFormat="1" applyFont="1" applyFill="1" applyAlignment="1">
      <alignment horizontal="right" vertical="center"/>
    </xf>
    <xf numFmtId="165" fontId="5" fillId="5" borderId="1" xfId="0" applyNumberFormat="1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F6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5" width="20" customWidth="1"/>
    <col min="6" max="6" width="22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6" customHeight="1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5"/>
      <c r="C5" s="5"/>
      <c r="D5" s="5"/>
      <c r="E5" s="4" t="s">
        <v>4</v>
      </c>
      <c r="F5" s="5"/>
    </row>
    <row r="6" spans="1:6" x14ac:dyDescent="0.25">
      <c r="A6" s="4" t="s">
        <v>5</v>
      </c>
      <c r="B6" s="5"/>
      <c r="C6" s="5"/>
      <c r="D6" s="5"/>
      <c r="E6" s="4" t="s">
        <v>6</v>
      </c>
      <c r="F6" s="5"/>
    </row>
    <row r="7" spans="1:6" x14ac:dyDescent="0.25">
      <c r="A7" s="4" t="s">
        <v>7</v>
      </c>
      <c r="B7" s="5"/>
      <c r="C7" s="5"/>
      <c r="D7" s="5"/>
      <c r="E7" s="5"/>
      <c r="F7" s="5"/>
    </row>
    <row r="8" spans="1:6" x14ac:dyDescent="0.25">
      <c r="A8" s="4" t="s">
        <v>8</v>
      </c>
      <c r="B8" s="5"/>
      <c r="C8" s="4" t="s">
        <v>9</v>
      </c>
      <c r="D8" s="5"/>
      <c r="E8" s="4" t="s">
        <v>10</v>
      </c>
      <c r="F8" s="5"/>
    </row>
    <row r="9" spans="1:4" x14ac:dyDescent="0.25">
      <c r="A9" s="4" t="s">
        <v>11</v>
      </c>
      <c r="B9" s="5"/>
      <c r="C9" s="5"/>
      <c r="D9" s="5"/>
    </row>
    <row r="11" ht="26" customHeight="1" spans="1:6" x14ac:dyDescent="0.25">
      <c r="A11" s="3" t="s">
        <v>12</v>
      </c>
      <c r="B11" s="3"/>
      <c r="C11" s="3"/>
      <c r="D11" s="3"/>
      <c r="E11" s="3"/>
      <c r="F11" s="3"/>
    </row>
    <row r="12" spans="1:6" x14ac:dyDescent="0.25">
      <c r="A12" s="4" t="s">
        <v>13</v>
      </c>
      <c r="B12" s="5"/>
      <c r="C12" s="4" t="s">
        <v>14</v>
      </c>
      <c r="D12" s="5"/>
      <c r="E12" s="4" t="s">
        <v>15</v>
      </c>
      <c r="F12" s="5"/>
    </row>
    <row r="13" spans="1:6" x14ac:dyDescent="0.25">
      <c r="A13" s="4" t="s">
        <v>16</v>
      </c>
      <c r="B13" s="5"/>
      <c r="C13" s="4" t="s">
        <v>17</v>
      </c>
      <c r="D13" s="5"/>
      <c r="E13" s="4" t="s">
        <v>18</v>
      </c>
      <c r="F13" s="5"/>
    </row>
    <row r="14" spans="1:6" x14ac:dyDescent="0.25">
      <c r="A14" s="4" t="s">
        <v>19</v>
      </c>
      <c r="B14" s="5"/>
      <c r="C14" s="4" t="s">
        <v>20</v>
      </c>
      <c r="D14" s="5"/>
      <c r="E14" s="4" t="s">
        <v>21</v>
      </c>
      <c r="F14" s="5"/>
    </row>
    <row r="16" ht="26" customHeight="1" spans="1:6" x14ac:dyDescent="0.25">
      <c r="A16" s="3" t="s">
        <v>22</v>
      </c>
      <c r="B16" s="3"/>
      <c r="C16" s="3"/>
      <c r="D16" s="3"/>
      <c r="E16" s="3"/>
      <c r="F16" s="3"/>
    </row>
    <row r="17" ht="24" customHeight="1" spans="1:6" x14ac:dyDescent="0.25">
      <c r="A17" s="6" t="s">
        <v>23</v>
      </c>
      <c r="B17" s="6" t="s">
        <v>24</v>
      </c>
      <c r="C17" s="6" t="s">
        <v>25</v>
      </c>
      <c r="D17" s="6" t="s">
        <v>26</v>
      </c>
      <c r="E17" s="6" t="s">
        <v>27</v>
      </c>
      <c r="F17" s="6" t="s">
        <v>28</v>
      </c>
    </row>
    <row r="18" ht="20" customHeight="1" spans="1:6" x14ac:dyDescent="0.25">
      <c r="A18" s="5"/>
      <c r="B18" s="5"/>
      <c r="C18" s="5"/>
      <c r="D18" s="5"/>
      <c r="E18" s="5"/>
      <c r="F18" s="5"/>
    </row>
    <row r="19" ht="20" customHeight="1" spans="1:6" x14ac:dyDescent="0.25">
      <c r="A19" s="5"/>
      <c r="B19" s="5"/>
      <c r="C19" s="5"/>
      <c r="D19" s="5"/>
      <c r="E19" s="5"/>
      <c r="F19" s="5"/>
    </row>
    <row r="20" ht="20" customHeight="1" spans="1:6" x14ac:dyDescent="0.25">
      <c r="A20" s="5"/>
      <c r="B20" s="5"/>
      <c r="C20" s="5"/>
      <c r="D20" s="5"/>
      <c r="E20" s="5"/>
      <c r="F20" s="5"/>
    </row>
    <row r="21" ht="20" customHeight="1" spans="1:6" x14ac:dyDescent="0.25">
      <c r="A21" s="5"/>
      <c r="B21" s="5"/>
      <c r="C21" s="5"/>
      <c r="D21" s="5"/>
      <c r="E21" s="5"/>
      <c r="F21" s="5"/>
    </row>
    <row r="22" ht="20" customHeight="1" spans="1:6" x14ac:dyDescent="0.25">
      <c r="A22" s="5"/>
      <c r="B22" s="5"/>
      <c r="C22" s="5"/>
      <c r="D22" s="5"/>
      <c r="E22" s="5"/>
      <c r="F22" s="5"/>
    </row>
    <row r="23" ht="20" customHeight="1" spans="1:6" x14ac:dyDescent="0.25">
      <c r="A23" s="5"/>
      <c r="B23" s="5"/>
      <c r="C23" s="5"/>
      <c r="D23" s="5"/>
      <c r="E23" s="5"/>
      <c r="F23" s="5"/>
    </row>
    <row r="24" ht="20" customHeight="1" spans="1:6" x14ac:dyDescent="0.25">
      <c r="A24" s="5"/>
      <c r="B24" s="5"/>
      <c r="C24" s="5"/>
      <c r="D24" s="5"/>
      <c r="E24" s="5"/>
      <c r="F24" s="5"/>
    </row>
    <row r="25" ht="20" customHeight="1" spans="1:6" x14ac:dyDescent="0.25">
      <c r="A25" s="5"/>
      <c r="B25" s="5"/>
      <c r="C25" s="5"/>
      <c r="D25" s="5"/>
      <c r="E25" s="5"/>
      <c r="F25" s="5"/>
    </row>
    <row r="26" ht="20" customHeight="1" spans="1:6" x14ac:dyDescent="0.25">
      <c r="A26" s="5"/>
      <c r="B26" s="5"/>
      <c r="C26" s="5"/>
      <c r="D26" s="5"/>
      <c r="E26" s="5"/>
      <c r="F26" s="5"/>
    </row>
    <row r="27" ht="20" customHeight="1" spans="1:6" x14ac:dyDescent="0.25">
      <c r="A27" s="5"/>
      <c r="B27" s="5"/>
      <c r="C27" s="5"/>
      <c r="D27" s="5"/>
      <c r="E27" s="5"/>
      <c r="F27" s="5"/>
    </row>
    <row r="29" ht="26" customHeight="1" spans="1:6" x14ac:dyDescent="0.25">
      <c r="A29" s="3" t="s">
        <v>29</v>
      </c>
      <c r="B29" s="3"/>
      <c r="C29" s="3"/>
      <c r="D29" s="3"/>
      <c r="E29" s="3"/>
      <c r="F29" s="3"/>
    </row>
    <row r="30" ht="24" customHeight="1" spans="1:5" x14ac:dyDescent="0.25">
      <c r="A30" s="6" t="s">
        <v>30</v>
      </c>
      <c r="B30" s="6" t="s">
        <v>31</v>
      </c>
      <c r="C30" s="6" t="s">
        <v>32</v>
      </c>
      <c r="D30" s="6" t="s">
        <v>33</v>
      </c>
      <c r="E30" s="6" t="s">
        <v>28</v>
      </c>
    </row>
    <row r="31" ht="20" customHeight="1" spans="1:5" x14ac:dyDescent="0.25">
      <c r="A31" s="5"/>
      <c r="B31" s="5"/>
      <c r="C31" s="5"/>
      <c r="D31" s="5"/>
      <c r="E31" s="5"/>
    </row>
    <row r="32" ht="20" customHeight="1" spans="1:5" x14ac:dyDescent="0.25">
      <c r="A32" s="5"/>
      <c r="B32" s="5"/>
      <c r="C32" s="5"/>
      <c r="D32" s="5"/>
      <c r="E32" s="5"/>
    </row>
    <row r="33" ht="20" customHeight="1" spans="1:5" x14ac:dyDescent="0.25">
      <c r="A33" s="5"/>
      <c r="B33" s="5"/>
      <c r="C33" s="5"/>
      <c r="D33" s="5"/>
      <c r="E33" s="5"/>
    </row>
    <row r="34" ht="20" customHeight="1" spans="1:5" x14ac:dyDescent="0.25">
      <c r="A34" s="5"/>
      <c r="B34" s="5"/>
      <c r="C34" s="5"/>
      <c r="D34" s="5"/>
      <c r="E34" s="5"/>
    </row>
    <row r="35" ht="20" customHeight="1" spans="1:5" x14ac:dyDescent="0.25">
      <c r="A35" s="5"/>
      <c r="B35" s="5"/>
      <c r="C35" s="5"/>
      <c r="D35" s="5"/>
      <c r="E35" s="5"/>
    </row>
    <row r="36" ht="20" customHeight="1" spans="1:5" x14ac:dyDescent="0.25">
      <c r="A36" s="5"/>
      <c r="B36" s="5"/>
      <c r="C36" s="5"/>
      <c r="D36" s="5"/>
      <c r="E36" s="5"/>
    </row>
    <row r="37" ht="20" customHeight="1" spans="1:5" x14ac:dyDescent="0.25">
      <c r="A37" s="5"/>
      <c r="B37" s="5"/>
      <c r="C37" s="5"/>
      <c r="D37" s="5"/>
      <c r="E37" s="5"/>
    </row>
    <row r="38" ht="20" customHeight="1" spans="1:5" x14ac:dyDescent="0.25">
      <c r="A38" s="5"/>
      <c r="B38" s="5"/>
      <c r="C38" s="5"/>
      <c r="D38" s="5"/>
      <c r="E38" s="5"/>
    </row>
    <row r="40" ht="26" customHeight="1" spans="1:6" x14ac:dyDescent="0.25">
      <c r="A40" s="3" t="s">
        <v>34</v>
      </c>
      <c r="B40" s="3"/>
      <c r="C40" s="3"/>
      <c r="D40" s="3"/>
      <c r="E40" s="3"/>
      <c r="F40" s="3"/>
    </row>
    <row r="41" ht="24" customHeight="1" spans="1:6" x14ac:dyDescent="0.25">
      <c r="A41" s="6" t="s">
        <v>35</v>
      </c>
      <c r="B41" s="6" t="s">
        <v>36</v>
      </c>
      <c r="C41" s="6" t="s">
        <v>25</v>
      </c>
      <c r="D41" s="6" t="s">
        <v>23</v>
      </c>
      <c r="E41" s="6" t="s">
        <v>37</v>
      </c>
      <c r="F41" s="6" t="s">
        <v>38</v>
      </c>
    </row>
    <row r="42" ht="20" customHeight="1" spans="1:6" x14ac:dyDescent="0.25">
      <c r="A42" s="5"/>
      <c r="B42" s="5"/>
      <c r="C42" s="5"/>
      <c r="D42" s="5"/>
      <c r="E42" s="7"/>
      <c r="F42" s="7">
        <f>IF(AND(C42&lt;&gt;"",E42&lt;&gt;""),C42*E42,"")</f>
      </c>
    </row>
    <row r="43" ht="20" customHeight="1" spans="1:6" x14ac:dyDescent="0.25">
      <c r="A43" s="5"/>
      <c r="B43" s="5"/>
      <c r="C43" s="5"/>
      <c r="D43" s="5"/>
      <c r="E43" s="7"/>
      <c r="F43" s="7">
        <f>IF(AND(C43&lt;&gt;"",E43&lt;&gt;""),C43*E43,"")</f>
      </c>
    </row>
    <row r="44" ht="20" customHeight="1" spans="1:6" x14ac:dyDescent="0.25">
      <c r="A44" s="5"/>
      <c r="B44" s="5"/>
      <c r="C44" s="5"/>
      <c r="D44" s="5"/>
      <c r="E44" s="7"/>
      <c r="F44" s="7">
        <f>IF(AND(C44&lt;&gt;"",E44&lt;&gt;""),C44*E44,"")</f>
      </c>
    </row>
    <row r="45" ht="20" customHeight="1" spans="1:6" x14ac:dyDescent="0.25">
      <c r="A45" s="5"/>
      <c r="B45" s="5"/>
      <c r="C45" s="5"/>
      <c r="D45" s="5"/>
      <c r="E45" s="7"/>
      <c r="F45" s="7">
        <f>IF(AND(C45&lt;&gt;"",E45&lt;&gt;""),C45*E45,"")</f>
      </c>
    </row>
    <row r="46" ht="20" customHeight="1" spans="1:6" x14ac:dyDescent="0.25">
      <c r="A46" s="5"/>
      <c r="B46" s="5"/>
      <c r="C46" s="5"/>
      <c r="D46" s="5"/>
      <c r="E46" s="7"/>
      <c r="F46" s="7">
        <f>IF(AND(C46&lt;&gt;"",E46&lt;&gt;""),C46*E46,"")</f>
      </c>
    </row>
    <row r="47" ht="20" customHeight="1" spans="1:6" x14ac:dyDescent="0.25">
      <c r="A47" s="5"/>
      <c r="B47" s="5"/>
      <c r="C47" s="5"/>
      <c r="D47" s="5"/>
      <c r="E47" s="7"/>
      <c r="F47" s="7">
        <f>IF(AND(C47&lt;&gt;"",E47&lt;&gt;""),C47*E47,"")</f>
      </c>
    </row>
    <row r="48" ht="20" customHeight="1" spans="1:6" x14ac:dyDescent="0.25">
      <c r="A48" s="5"/>
      <c r="B48" s="5"/>
      <c r="C48" s="5"/>
      <c r="D48" s="5"/>
      <c r="E48" s="7"/>
      <c r="F48" s="7">
        <f>IF(AND(C48&lt;&gt;"",E48&lt;&gt;""),C48*E48,"")</f>
      </c>
    </row>
    <row r="49" ht="20" customHeight="1" spans="1:6" x14ac:dyDescent="0.25">
      <c r="A49" s="5"/>
      <c r="B49" s="5"/>
      <c r="C49" s="5"/>
      <c r="D49" s="5"/>
      <c r="E49" s="7"/>
      <c r="F49" s="7">
        <f>IF(AND(C49&lt;&gt;"",E49&lt;&gt;""),C49*E49,"")</f>
      </c>
    </row>
    <row r="50" ht="20" customHeight="1" spans="1:6" x14ac:dyDescent="0.25">
      <c r="A50" s="5"/>
      <c r="B50" s="5"/>
      <c r="C50" s="5"/>
      <c r="D50" s="5"/>
      <c r="E50" s="7"/>
      <c r="F50" s="7">
        <f>IF(AND(C50&lt;&gt;"",E50&lt;&gt;""),C50*E50,"")</f>
      </c>
    </row>
    <row r="51" ht="20" customHeight="1" spans="1:6" x14ac:dyDescent="0.25">
      <c r="A51" s="5"/>
      <c r="B51" s="5"/>
      <c r="C51" s="5"/>
      <c r="D51" s="5"/>
      <c r="E51" s="7"/>
      <c r="F51" s="7">
        <f>IF(AND(C51&lt;&gt;"",E51&lt;&gt;""),C51*E51,"")</f>
      </c>
    </row>
    <row r="52" ht="20" customHeight="1" spans="1:6" x14ac:dyDescent="0.25">
      <c r="A52" s="5"/>
      <c r="B52" s="5"/>
      <c r="C52" s="5"/>
      <c r="D52" s="5"/>
      <c r="E52" s="7"/>
      <c r="F52" s="7">
        <f>IF(AND(C52&lt;&gt;"",E52&lt;&gt;""),C52*E52,"")</f>
      </c>
    </row>
    <row r="53" ht="20" customHeight="1" spans="1:6" x14ac:dyDescent="0.25">
      <c r="A53" s="5"/>
      <c r="B53" s="5"/>
      <c r="C53" s="5"/>
      <c r="D53" s="5"/>
      <c r="E53" s="7"/>
      <c r="F53" s="7">
        <f>IF(AND(C53&lt;&gt;"",E53&lt;&gt;""),C53*E53,"")</f>
      </c>
    </row>
    <row r="54" spans="1:6" x14ac:dyDescent="0.25">
      <c r="A54" s="8" t="s">
        <v>39</v>
      </c>
      <c r="B54" s="8"/>
      <c r="C54" s="8"/>
      <c r="D54" s="8"/>
      <c r="E54" s="8"/>
      <c r="F54" s="9">
        <f>SUM(F42:F53)</f>
      </c>
    </row>
    <row r="56" ht="26" customHeight="1" spans="1:6" x14ac:dyDescent="0.25">
      <c r="A56" s="3" t="s">
        <v>40</v>
      </c>
      <c r="B56" s="3"/>
      <c r="C56" s="3"/>
      <c r="D56" s="3"/>
      <c r="E56" s="3"/>
      <c r="F56" s="3"/>
    </row>
    <row r="57" spans="1:6" x14ac:dyDescent="0.25">
      <c r="A57" s="4" t="s">
        <v>41</v>
      </c>
      <c r="B57" s="5"/>
      <c r="C57" s="4" t="s">
        <v>42</v>
      </c>
      <c r="D57" s="5"/>
      <c r="E57" s="4" t="s">
        <v>43</v>
      </c>
      <c r="F57" s="5"/>
    </row>
    <row r="58" spans="1:6" x14ac:dyDescent="0.25">
      <c r="A58" s="4" t="s">
        <v>44</v>
      </c>
      <c r="B58" s="5"/>
      <c r="C58" s="4" t="s">
        <v>45</v>
      </c>
      <c r="D58" s="5"/>
      <c r="E58" s="4" t="s">
        <v>46</v>
      </c>
      <c r="F58" s="5"/>
    </row>
    <row r="60" ht="26" customHeight="1" spans="1:6" x14ac:dyDescent="0.25">
      <c r="A60" s="3" t="s">
        <v>47</v>
      </c>
      <c r="B60" s="3"/>
      <c r="C60" s="3"/>
      <c r="D60" s="3"/>
      <c r="E60" s="3"/>
      <c r="F60" s="3"/>
    </row>
    <row r="61" spans="1:6" x14ac:dyDescent="0.25">
      <c r="A61" s="4" t="s">
        <v>48</v>
      </c>
      <c r="B61" s="5"/>
      <c r="C61" s="4" t="s">
        <v>49</v>
      </c>
      <c r="D61" s="7"/>
      <c r="E61" s="4" t="s">
        <v>50</v>
      </c>
      <c r="F61" s="10"/>
    </row>
    <row r="62" spans="1:6" x14ac:dyDescent="0.25">
      <c r="A62" s="4" t="s">
        <v>51</v>
      </c>
      <c r="B62" s="5"/>
      <c r="C62" s="4" t="s">
        <v>52</v>
      </c>
      <c r="D62" s="5"/>
      <c r="E62" s="4" t="s">
        <v>53</v>
      </c>
      <c r="F62" s="5"/>
    </row>
    <row r="64" ht="26" customHeight="1" spans="1:6" x14ac:dyDescent="0.25">
      <c r="A64" s="3" t="s">
        <v>54</v>
      </c>
      <c r="B64" s="3"/>
      <c r="C64" s="3"/>
      <c r="D64" s="3"/>
      <c r="E64" s="3"/>
      <c r="F64" s="3"/>
    </row>
    <row r="65" ht="20" customHeight="1" spans="1:6" x14ac:dyDescent="0.25">
      <c r="A65" s="11"/>
      <c r="B65" s="11"/>
      <c r="C65" s="11"/>
      <c r="D65" s="11"/>
      <c r="E65" s="11"/>
      <c r="F65" s="11"/>
    </row>
    <row r="66" ht="20" customHeight="1" spans="1:6" x14ac:dyDescent="0.25">
      <c r="A66" s="11"/>
      <c r="B66" s="11"/>
      <c r="C66" s="11"/>
      <c r="D66" s="11"/>
      <c r="E66" s="11"/>
      <c r="F66" s="11"/>
    </row>
    <row r="67" ht="20" customHeight="1" spans="1:6" x14ac:dyDescent="0.25">
      <c r="A67" s="11"/>
      <c r="B67" s="11"/>
      <c r="C67" s="11"/>
      <c r="D67" s="11"/>
      <c r="E67" s="11"/>
      <c r="F67" s="11"/>
    </row>
    <row r="68" ht="20" customHeight="1" spans="1:6" x14ac:dyDescent="0.25">
      <c r="A68" s="11"/>
      <c r="B68" s="11"/>
      <c r="C68" s="11"/>
      <c r="D68" s="11"/>
      <c r="E68" s="11"/>
      <c r="F68" s="11"/>
    </row>
  </sheetData>
  <mergeCells count="16">
    <mergeCell ref="A1:F1"/>
    <mergeCell ref="A2:F2"/>
    <mergeCell ref="A4:F4"/>
    <mergeCell ref="B5:D5"/>
    <mergeCell ref="B6:D6"/>
    <mergeCell ref="B7:F7"/>
    <mergeCell ref="B9:D9"/>
    <mergeCell ref="A11:F11"/>
    <mergeCell ref="A16:F16"/>
    <mergeCell ref="A29:F29"/>
    <mergeCell ref="A40:F40"/>
    <mergeCell ref="A54:E54"/>
    <mergeCell ref="A56:F56"/>
    <mergeCell ref="A60:F60"/>
    <mergeCell ref="A64:F64"/>
    <mergeCell ref="A65:F68"/>
  </mergeCells>
  <dataValidations count="14">
    <dataValidation type="list" allowBlank="1" sqref="A31:A38">
      <formula1>=Listas!$G$2:$G$8</formula1>
    </dataValidation>
    <dataValidation type="list" allowBlank="1" sqref="A42:A53">
      <formula1>=Listas!$I$2:$I$14</formula1>
    </dataValidation>
    <dataValidation type="list" allowBlank="1" sqref="B12">
      <formula1>=Listas!$A$2:$A$5</formula1>
    </dataValidation>
    <dataValidation type="list" allowBlank="1" sqref="B13">
      <formula1>=Listas!$B$2:$B$3</formula1>
    </dataValidation>
    <dataValidation type="list" allowBlank="1" sqref="B18:B27">
      <formula1>=Listas!$D$2:$D$4</formula1>
    </dataValidation>
    <dataValidation type="list" allowBlank="1" sqref="B42:B53">
      <formula1>=Listas!$J$2:$J$13</formula1>
    </dataValidation>
    <dataValidation type="list" allowBlank="1" sqref="B57:B58">
      <formula1>=Listas!$C$2:$C$3</formula1>
    </dataValidation>
    <dataValidation type="list" allowBlank="1" sqref="B61">
      <formula1>=Listas!$K$2:$K$4</formula1>
    </dataValidation>
    <dataValidation type="list" allowBlank="1" sqref="D13:D14">
      <formula1>=Listas!$C$2:$C$3</formula1>
    </dataValidation>
    <dataValidation type="list" allowBlank="1" sqref="D18:D27">
      <formula1>=Listas!$E$2:$E$6</formula1>
    </dataValidation>
    <dataValidation type="list" allowBlank="1" sqref="D31:D38">
      <formula1>=Listas!$H$2:$H$4</formula1>
    </dataValidation>
    <dataValidation type="list" allowBlank="1" sqref="D62">
      <formula1>=Listas!$L$2:$L$5</formula1>
    </dataValidation>
    <dataValidation type="list" allowBlank="1" sqref="E18:E27">
      <formula1>=Listas!$F$2:$F$3</formula1>
    </dataValidation>
    <dataValidation type="list" allowBlank="1" sqref="F14">
      <formula1>=Listas!$C$2:$C$3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sheetData>
    <row r="1" spans="1:12" x14ac:dyDescent="0.25">
      <c r="A1" t="s">
        <v>13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30</v>
      </c>
      <c r="H1" t="s">
        <v>33</v>
      </c>
      <c r="I1" t="s">
        <v>35</v>
      </c>
      <c r="J1" t="s">
        <v>36</v>
      </c>
      <c r="K1" t="s">
        <v>60</v>
      </c>
      <c r="L1" t="s">
        <v>61</v>
      </c>
    </row>
    <row r="2" spans="1:12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66</v>
      </c>
      <c r="K2" t="s">
        <v>71</v>
      </c>
      <c r="L2" t="s">
        <v>72</v>
      </c>
    </row>
    <row r="3" spans="1:12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77</v>
      </c>
      <c r="K3" t="s">
        <v>82</v>
      </c>
      <c r="L3" t="s">
        <v>83</v>
      </c>
    </row>
    <row r="4" spans="1:12" x14ac:dyDescent="0.25">
      <c r="A4" t="s">
        <v>84</v>
      </c>
      <c r="D4" t="s">
        <v>85</v>
      </c>
      <c r="E4" t="s">
        <v>86</v>
      </c>
      <c r="G4" t="s">
        <v>87</v>
      </c>
      <c r="H4" t="s">
        <v>88</v>
      </c>
      <c r="I4" t="s">
        <v>89</v>
      </c>
      <c r="J4" t="s">
        <v>86</v>
      </c>
      <c r="K4" t="s">
        <v>90</v>
      </c>
      <c r="L4" t="s">
        <v>91</v>
      </c>
    </row>
    <row r="5" spans="1:12" x14ac:dyDescent="0.25">
      <c r="A5" t="s">
        <v>92</v>
      </c>
      <c r="D5" t="s">
        <v>93</v>
      </c>
      <c r="E5" t="s">
        <v>94</v>
      </c>
      <c r="G5" t="s">
        <v>95</v>
      </c>
      <c r="I5" t="s">
        <v>96</v>
      </c>
      <c r="J5" t="s">
        <v>94</v>
      </c>
      <c r="L5" t="s">
        <v>97</v>
      </c>
    </row>
    <row r="6" spans="5:10" x14ac:dyDescent="0.25">
      <c r="E6" t="s">
        <v>98</v>
      </c>
      <c r="G6" t="s">
        <v>99</v>
      </c>
      <c r="I6" t="s">
        <v>100</v>
      </c>
      <c r="J6" t="s">
        <v>101</v>
      </c>
    </row>
    <row r="7" spans="7:10" x14ac:dyDescent="0.25">
      <c r="G7" t="s">
        <v>102</v>
      </c>
      <c r="I7" t="s">
        <v>103</v>
      </c>
      <c r="J7" t="s">
        <v>104</v>
      </c>
    </row>
    <row r="8" spans="7:10" x14ac:dyDescent="0.25">
      <c r="G8" t="s">
        <v>105</v>
      </c>
      <c r="I8" t="s">
        <v>106</v>
      </c>
      <c r="J8" t="s">
        <v>107</v>
      </c>
    </row>
    <row r="9" spans="9:10" x14ac:dyDescent="0.25">
      <c r="I9" t="s">
        <v>108</v>
      </c>
      <c r="J9" t="s">
        <v>109</v>
      </c>
    </row>
    <row r="10" spans="9:10" x14ac:dyDescent="0.25">
      <c r="I10" t="s">
        <v>110</v>
      </c>
      <c r="J10" t="s">
        <v>111</v>
      </c>
    </row>
    <row r="11" spans="9:10" x14ac:dyDescent="0.25">
      <c r="I11" t="s">
        <v>112</v>
      </c>
      <c r="J11" t="s">
        <v>113</v>
      </c>
    </row>
    <row r="12" spans="9:10" x14ac:dyDescent="0.25">
      <c r="I12" t="s">
        <v>114</v>
      </c>
      <c r="J12" t="s">
        <v>115</v>
      </c>
    </row>
    <row r="13" spans="9:10" x14ac:dyDescent="0.25">
      <c r="I13" t="s">
        <v>116</v>
      </c>
      <c r="J1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Relevamiento Cliente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Lumos</dc:creator>
  <dc:title/>
  <dc:subject/>
  <dc:description/>
  <cp:keywords/>
  <cp:category/>
  <cp:lastModifiedBy>Unknown</cp:lastModifiedBy>
  <dcterms:created xsi:type="dcterms:W3CDTF">2026-07-08T20:47:53Z</dcterms:created>
  <dcterms:modified xsi:type="dcterms:W3CDTF">2026-07-08T20:47:53Z</dcterms:modified>
</cp:coreProperties>
</file>